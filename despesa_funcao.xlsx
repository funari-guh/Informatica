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2014495-B9D5-4B76-ADAF-A4F6F16F2358}" xr6:coauthVersionLast="36" xr6:coauthVersionMax="36" xr10:uidLastSave="{00000000-0000-0000-0000-000000000000}"/>
  <bookViews>
    <workbookView xWindow="0" yWindow="0" windowWidth="21570" windowHeight="7890" activeTab="1"/>
  </bookViews>
  <sheets>
    <sheet name="despesa_funcao" sheetId="1" r:id="rId1"/>
    <sheet name="Planilha2" sheetId="3" r:id="rId2"/>
    <sheet name="Planilha1" sheetId="2" r:id="rId3"/>
  </sheets>
  <calcPr calcId="0"/>
  <pivotCaches>
    <pivotCache cacheId="10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<sst xmlns="http://schemas.openxmlformats.org/spreadsheetml/2006/main" count="2707" uniqueCount="568">
  <si>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</si>
  <si>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</si>
  <si>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</si>
  <si>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</si>
  <si>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</si>
  <si>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</si>
  <si>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</si>
  <si>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</si>
  <si>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</si>
  <si>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</si>
  <si>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</si>
  <si>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</si>
  <si>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</si>
  <si>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</si>
  <si>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</si>
  <si>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</si>
  <si>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</si>
  <si>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</si>
  <si>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</si>
  <si>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</si>
  <si>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</si>
  <si>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</si>
  <si>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</si>
  <si>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</si>
  <si>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</si>
  <si>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</si>
  <si>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</si>
  <si>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</si>
  <si>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</si>
  <si>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</si>
  <si>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</si>
  <si>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</si>
  <si>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</si>
  <si>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</si>
  <si>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</si>
  <si>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</si>
  <si>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</si>
  <si>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</si>
  <si>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</si>
  <si>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</si>
  <si>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</si>
  <si>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</si>
  <si>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</si>
  <si>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</si>
  <si>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</si>
  <si>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</si>
  <si>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</si>
  <si>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</si>
  <si>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</si>
  <si>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</si>
  <si>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</si>
  <si>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</si>
  <si>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</si>
  <si>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</si>
  <si>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</si>
  <si>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</si>
  <si>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</si>
  <si>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</si>
  <si>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</si>
  <si>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</si>
  <si>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</si>
  <si>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</si>
  <si>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</si>
  <si>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</si>
  <si>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</si>
  <si>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</si>
  <si>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</si>
  <si>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</si>
  <si>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</si>
  <si>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</si>
  <si>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</si>
  <si>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</si>
  <si>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</si>
  <si>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</si>
  <si>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</si>
  <si>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</si>
  <si>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</si>
  <si>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</si>
  <si>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</si>
  <si>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</si>
  <si>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</si>
  <si>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</si>
  <si>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</si>
  <si>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</si>
  <si>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</si>
  <si>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</si>
  <si>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</si>
  <si>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</si>
  <si>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</si>
  <si>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</si>
  <si>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</si>
  <si>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</si>
  <si>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</si>
  <si>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</si>
  <si>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</si>
  <si>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</si>
  <si>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</si>
  <si>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</si>
  <si>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</si>
  <si>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</si>
  <si>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</si>
  <si>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</si>
  <si>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</si>
  <si>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</si>
  <si>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</si>
  <si>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</si>
  <si>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</si>
  <si>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</si>
  <si>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</si>
  <si>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</si>
  <si>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</si>
  <si>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</si>
  <si>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</si>
  <si>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</si>
  <si>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</si>
  <si>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</si>
  <si>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</si>
  <si>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</si>
  <si>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</si>
  <si>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</si>
  <si>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</si>
  <si>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</si>
  <si>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</si>
  <si>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</si>
  <si>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</si>
  <si>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</si>
  <si>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</si>
  <si>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</si>
  <si>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</si>
  <si>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</si>
  <si>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</si>
  <si>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</si>
  <si>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</si>
  <si>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</si>
  <si>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</si>
  <si>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</si>
  <si>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</si>
  <si>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</si>
  <si>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</si>
  <si>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</si>
  <si>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</si>
  <si>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</si>
  <si>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</si>
  <si>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</si>
  <si>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</si>
  <si>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</si>
  <si>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</si>
  <si>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</si>
  <si>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</si>
  <si>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</si>
  <si>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</si>
  <si>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</si>
  <si>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</si>
  <si>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</si>
  <si>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</si>
  <si>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</si>
  <si>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</si>
  <si>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</si>
  <si>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</si>
  <si>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</si>
  <si>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</si>
  <si>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</si>
  <si>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</si>
  <si>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</si>
  <si>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</si>
  <si>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</si>
  <si>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</si>
  <si>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</si>
  <si>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</si>
  <si>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</si>
  <si>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</si>
  <si>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</si>
  <si>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</si>
  <si>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</si>
  <si>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</si>
  <si>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</si>
  <si>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</si>
  <si>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</si>
  <si>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</si>
  <si>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</si>
  <si>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</si>
  <si>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</si>
  <si>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</si>
  <si>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</si>
  <si>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</si>
  <si>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</si>
  <si>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</si>
  <si>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</si>
  <si>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</si>
  <si>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</si>
  <si>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</si>
  <si>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</si>
  <si>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</si>
  <si>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</si>
  <si>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</si>
  <si>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</si>
  <si>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</si>
  <si>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</si>
  <si>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</si>
  <si>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</si>
  <si>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</si>
  <si>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</si>
  <si>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</si>
  <si>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</si>
  <si>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</si>
  <si>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</si>
  <si>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</si>
  <si>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</si>
  <si>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</si>
  <si>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</si>
  <si>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</si>
  <si>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</si>
  <si>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</si>
  <si>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</si>
  <si>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</si>
  <si>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</si>
  <si>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</si>
  <si>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</si>
  <si>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</si>
  <si>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</si>
  <si>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</si>
  <si>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</si>
  <si>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</si>
  <si>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</si>
  <si>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</si>
  <si>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</si>
  <si>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</si>
  <si>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</si>
  <si>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</si>
  <si>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</si>
  <si>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</si>
  <si>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</si>
  <si>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</si>
  <si>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</si>
  <si>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</si>
  <si>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</si>
  <si>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</si>
  <si>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</si>
  <si>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</si>
  <si>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</si>
  <si>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</si>
  <si>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</si>
  <si>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</si>
  <si>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</si>
  <si>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</si>
  <si>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</si>
  <si>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</si>
  <si>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</si>
  <si>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</si>
  <si>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</si>
  <si>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</si>
  <si>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</si>
  <si>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</si>
  <si>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</si>
  <si>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</si>
  <si>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</si>
  <si>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</si>
  <si>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</si>
  <si>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</si>
  <si>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</si>
  <si>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</si>
  <si>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</si>
  <si>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</si>
  <si>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</si>
  <si>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</si>
  <si>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</si>
  <si>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</si>
  <si>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</si>
  <si>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</si>
  <si>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</si>
  <si>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</si>
  <si>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</si>
  <si>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</si>
  <si>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</si>
  <si>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</si>
  <si>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</si>
  <si>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</si>
  <si>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</si>
  <si>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</si>
  <si>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</si>
  <si>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</si>
  <si>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</si>
  <si>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</si>
  <si>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</si>
  <si>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</si>
  <si>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</si>
  <si>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</si>
  <si>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</si>
  <si>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</si>
  <si>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</si>
  <si>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</si>
  <si>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</si>
  <si>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</si>
  <si>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</si>
  <si>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</si>
  <si>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</si>
  <si>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</si>
  <si>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</si>
  <si>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</si>
  <si>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</si>
  <si>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</si>
  <si>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</si>
  <si>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</si>
  <si>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</si>
  <si>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</si>
  <si>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</si>
  <si>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</si>
  <si>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</si>
  <si>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</si>
  <si>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</si>
  <si>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</si>
  <si>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</si>
  <si>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</si>
  <si>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</si>
  <si>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</si>
  <si>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</si>
  <si>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</si>
  <si>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</si>
  <si>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</si>
  <si>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</si>
  <si>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</si>
  <si>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</si>
  <si>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</si>
  <si>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</si>
  <si>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</si>
  <si>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</si>
  <si>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</si>
  <si>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</si>
  <si>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</si>
  <si>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</si>
  <si>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</si>
  <si>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</si>
  <si>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</si>
  <si>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</si>
  <si>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</si>
  <si>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</si>
  <si>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</si>
  <si>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</si>
  <si>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</si>
  <si>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</si>
  <si>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</si>
  <si>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</si>
  <si>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</si>
  <si>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</si>
  <si>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</si>
  <si>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</si>
  <si>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</si>
  <si>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</si>
  <si>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</si>
  <si>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</si>
  <si>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</si>
  <si>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</si>
  <si>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</si>
  <si>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</si>
  <si>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</si>
  <si>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</si>
  <si>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</si>
  <si>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</si>
  <si>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</si>
  <si>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</si>
  <si>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</si>
  <si>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</si>
  <si>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</si>
  <si>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</si>
  <si>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</si>
  <si>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</si>
  <si>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</si>
  <si>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</si>
  <si>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</si>
  <si>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</si>
  <si>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</si>
  <si>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</si>
  <si>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</si>
  <si>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</si>
  <si>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</si>
  <si>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</si>
  <si>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</si>
  <si>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</si>
  <si>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</si>
  <si>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</si>
  <si>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</si>
  <si>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</si>
  <si>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</si>
  <si>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</si>
  <si>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</si>
  <si>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</si>
  <si>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</si>
  <si>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</si>
  <si>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</si>
  <si>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</si>
  <si>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</si>
  <si>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</si>
  <si>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</si>
  <si>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</si>
  <si>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</si>
  <si>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</si>
  <si>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</si>
  <si>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</si>
  <si>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</si>
  <si>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</si>
  <si>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</si>
  <si>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</si>
  <si>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</si>
  <si>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</si>
  <si>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</si>
  <si>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</si>
  <si>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</si>
  <si>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</si>
  <si>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</si>
  <si>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</si>
  <si>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</si>
  <si>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</si>
  <si>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</si>
  <si>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</si>
  <si>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</si>
  <si>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</si>
  <si>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</si>
  <si>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</si>
  <si>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</si>
  <si>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</si>
  <si>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</si>
  <si>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</si>
  <si>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</si>
  <si>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</si>
  <si>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</si>
  <si>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</si>
  <si>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</si>
  <si>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</si>
  <si>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</si>
  <si>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</si>
  <si>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</si>
  <si>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</si>
  <si>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</si>
  <si>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</si>
  <si>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</si>
  <si>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</si>
  <si>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</si>
  <si>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</si>
  <si>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</si>
  <si>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</si>
  <si>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</si>
  <si>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</si>
  <si>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</si>
  <si>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</si>
  <si>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</si>
  <si>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</si>
  <si>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</si>
  <si>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</si>
  <si>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</si>
  <si>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</si>
  <si>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</si>
  <si>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</si>
  <si>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</si>
  <si>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</si>
  <si>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</si>
  <si>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</si>
  <si>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</si>
  <si>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</si>
  <si>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</si>
  <si>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</si>
  <si>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</si>
  <si>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</si>
  <si>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</si>
  <si>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</si>
  <si>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</si>
  <si>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</si>
  <si>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</si>
  <si>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</si>
  <si>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</si>
  <si>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</si>
  <si>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</si>
  <si>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</si>
  <si>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</si>
  <si>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</si>
  <si>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</si>
  <si>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</si>
  <si>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</si>
  <si>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</si>
  <si>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</si>
  <si>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</si>
  <si>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</si>
  <si>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</si>
  <si>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</si>
  <si>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</si>
  <si>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</si>
  <si>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</si>
  <si>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</si>
  <si>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</si>
  <si>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</si>
  <si>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</si>
  <si>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</si>
  <si>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</si>
  <si>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</si>
  <si>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</si>
  <si>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</si>
  <si>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</si>
  <si>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</si>
  <si>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</si>
  <si>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</si>
  <si>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</si>
  <si>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</si>
  <si>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</si>
  <si>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</si>
  <si>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</si>
  <si>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</si>
  <si>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</si>
  <si>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</si>
  <si>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</si>
  <si>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</si>
  <si>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</si>
  <si>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</si>
  <si>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</si>
  <si>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</si>
  <si>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</si>
  <si>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</si>
  <si>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</si>
  <si>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</si>
  <si>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</si>
  <si>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</si>
  <si>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</si>
  <si>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</si>
  <si>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</si>
  <si>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</si>
  <si>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</si>
  <si>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</si>
  <si>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</si>
  <si>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</si>
  <si>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</si>
  <si>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</si>
  <si>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</si>
  <si>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</si>
  <si>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</si>
  <si>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</si>
  <si>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</si>
  <si>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</si>
  <si>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</si>
  <si>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</si>
  <si>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</si>
  <si>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</si>
  <si>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</si>
  <si>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</si>
  <si>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</si>
  <si>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</si>
  <si>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</si>
  <si>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</si>
  <si>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</si>
  <si>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</si>
  <si>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</si>
  <si>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</si>
  <si>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</si>
  <si>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</si>
  <si>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</si>
  <si>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</si>
  <si>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</si>
  <si>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</si>
  <si>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</si>
  <si>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</si>
  <si>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</si>
  <si>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</si>
  <si>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</si>
  <si>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</si>
  <si>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</si>
  <si>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</si>
  <si>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Itens pagos</t>
  </si>
  <si>
    <t>Total de Gastos em Fevereiro/2026</t>
  </si>
  <si>
    <t>Rótulos de Linha</t>
  </si>
  <si>
    <t>Total Geral</t>
  </si>
  <si>
    <t>Soma de Total de Gastos em Fevereiro/2026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</si>
</sst>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17" fillId="3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164" formatCode="_-[$R$-416]\ * #,##0.00_-;\-[$R$-416]\ * #,##0.00_-;_-[$R$-416]\ * &quot;-&quot;??_-;_-@_-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[despesa_funcao.xlsx]Planilha2!Tabela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6-4272-A796-6F0B0FA23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003775"/>
        <c:axId val="1272149295"/>
      </c:barChart>
      <c:catAx>
        <c:axId val="128400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149295"/>
        <c:crosses val="autoZero"/>
        <c:auto val="1"/>
        <c:lblAlgn val="ctr"/>
        <c:lblOffset val="100"/>
        <c:noMultiLvlLbl val="0"/>
      </c:catAx>
      <c:valAx>
        <c:axId val="12721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00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95250</xdr:rowOff>
    </xdr:from>
    <xdr:to>
      <xdr:col>13</xdr:col>
      <xdr:colOff>95251</xdr:colOff>
      <xdr:row>51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EC395-B3AC-4EE2-9AEF-043A8731A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3.944326273151" createdVersion="6" refreshedVersion="6" minRefreshableVersion="3" recordCount="16">
  <cacheSource type="worksheet">
    <worksheetSource name="Tabela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de Gastos em Fevereiro/2026" numFmtId="164">
      <sharedItems containsSemiMixedTypes="0" containsString="0" containsNumber="1" minValue="67673.06" maxValue="97415941.840000004"/>
    </cacheField>
    <cacheField name="Total de Itens pago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de Gastos em Fevereiro/2026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444" totalsRowShown="0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 dataDxfId="2"/>
    <tableColumn id="11" name="Pago  (R$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7" totalsRowShown="0">
  <autoFilter ref="A1:C17"/>
  <tableColumns count="3">
    <tableColumn id="1" name="Secretaria"/>
    <tableColumn id="2" name="Total de Gastos em Fevereiro/2026" dataDxfId="1">
      <calculatedColumnFormula>SUMIF(despesa_funcao!D:D,A2,despesa_funcao!K:K)</calculatedColumnFormula>
    </tableColumn>
    <tableColumn id="3" name="Total de Itens pagos" dataDxfId="0">
      <calculatedColumnFormula>COUNTIF(despesa_funcao!D:D,A:A)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topLeftCell="B1" workbookViewId="0">
      <selection activeCell="D1" sqref="D1:D104857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topLeftCell="A13" workbookViewId="0">
      <selection activeCell="R25" sqref="R25"/>
    </sheetView>
  </sheetViews>
  <sheetFormatPr defaultRowHeight="15" x14ac:dyDescent="0.25"/>
  <cols>
    <col min="1" max="1" width="57.42578125" bestFit="1" customWidth="1"/>
    <col min="2" max="2" width="40.7109375" bestFit="1" customWidth="1"/>
  </cols>
  <sheetData>
    <row r="1" spans="1:2" x14ac:dyDescent="0.25">
      <c r="A1" s="4" t="s">
        <v>565</v>
      </c>
      <c r="B1" t="s">
        <v>567</v>
      </c>
    </row>
    <row r="2" spans="1:2" x14ac:dyDescent="0.25">
      <c r="A2" s="5" t="s">
        <v>12</v>
      </c>
      <c r="B2" s="6">
        <v>67673.06</v>
      </c>
    </row>
    <row r="3" spans="1:2" x14ac:dyDescent="0.25">
      <c r="A3" s="5" t="s">
        <v>464</v>
      </c>
      <c r="B3" s="6">
        <v>474178.14999999997</v>
      </c>
    </row>
    <row r="4" spans="1:2" x14ac:dyDescent="0.25">
      <c r="A4" s="5" t="s">
        <v>548</v>
      </c>
      <c r="B4" s="6">
        <v>924217.23</v>
      </c>
    </row>
    <row r="5" spans="1:2" x14ac:dyDescent="0.25">
      <c r="A5" s="5" t="s">
        <v>52</v>
      </c>
      <c r="B5" s="6">
        <v>1182770.0299999998</v>
      </c>
    </row>
    <row r="6" spans="1:2" x14ac:dyDescent="0.25">
      <c r="A6" s="5" t="s">
        <v>92</v>
      </c>
      <c r="B6" s="6">
        <v>1644914.53</v>
      </c>
    </row>
    <row r="7" spans="1:2" x14ac:dyDescent="0.25">
      <c r="A7" s="5" t="s">
        <v>115</v>
      </c>
      <c r="B7" s="6">
        <v>2361341.12</v>
      </c>
    </row>
    <row r="8" spans="1:2" x14ac:dyDescent="0.25">
      <c r="A8" s="5" t="s">
        <v>18</v>
      </c>
      <c r="B8" s="6">
        <v>3049447.7499999995</v>
      </c>
    </row>
    <row r="9" spans="1:2" x14ac:dyDescent="0.25">
      <c r="A9" s="5" t="s">
        <v>486</v>
      </c>
      <c r="B9" s="6">
        <v>5438913.9299999978</v>
      </c>
    </row>
    <row r="10" spans="1:2" x14ac:dyDescent="0.25">
      <c r="A10" s="5" t="s">
        <v>236</v>
      </c>
      <c r="B10" s="6">
        <v>5975771.5599999996</v>
      </c>
    </row>
    <row r="11" spans="1:2" x14ac:dyDescent="0.25">
      <c r="A11" s="5" t="s">
        <v>262</v>
      </c>
      <c r="B11" s="6">
        <v>8654354.950000003</v>
      </c>
    </row>
    <row r="12" spans="1:2" x14ac:dyDescent="0.25">
      <c r="A12" s="5" t="s">
        <v>74</v>
      </c>
      <c r="B12" s="6">
        <v>8665883.370000001</v>
      </c>
    </row>
    <row r="13" spans="1:2" x14ac:dyDescent="0.25">
      <c r="A13" s="5" t="s">
        <v>291</v>
      </c>
      <c r="B13" s="6">
        <v>25107843.960000001</v>
      </c>
    </row>
    <row r="14" spans="1:2" x14ac:dyDescent="0.25">
      <c r="A14" s="5" t="s">
        <v>438</v>
      </c>
      <c r="B14" s="6">
        <v>30679165.420000002</v>
      </c>
    </row>
    <row r="15" spans="1:2" x14ac:dyDescent="0.25">
      <c r="A15" s="5" t="s">
        <v>510</v>
      </c>
      <c r="B15" s="6">
        <v>37463150.299999997</v>
      </c>
    </row>
    <row r="16" spans="1:2" x14ac:dyDescent="0.25">
      <c r="A16" s="5" t="s">
        <v>310</v>
      </c>
      <c r="B16" s="6">
        <v>84243777.629999995</v>
      </c>
    </row>
    <row r="17" spans="1:2" x14ac:dyDescent="0.25">
      <c r="A17" s="5" t="s">
        <v>131</v>
      </c>
      <c r="B17" s="6">
        <v>97415941.840000004</v>
      </c>
    </row>
    <row r="18" spans="1:2" x14ac:dyDescent="0.25">
      <c r="A18" s="5" t="s">
        <v>566</v>
      </c>
      <c r="B18" s="6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28" sqref="B28"/>
    </sheetView>
  </sheetViews>
  <sheetFormatPr defaultRowHeight="15" x14ac:dyDescent="0.25"/>
  <cols>
    <col min="1" max="1" width="57.42578125" bestFit="1" customWidth="1"/>
    <col min="2" max="2" width="33.7109375" customWidth="1"/>
    <col min="3" max="3" width="20.7109375" customWidth="1"/>
  </cols>
  <sheetData>
    <row r="1" spans="1:3" x14ac:dyDescent="0.25">
      <c r="A1" s="2" t="s">
        <v>3</v>
      </c>
      <c r="B1" t="s">
        <v>564</v>
      </c>
      <c r="C1" t="s">
        <v>563</v>
      </c>
    </row>
    <row r="2" spans="1:3" x14ac:dyDescent="0.25">
      <c r="A2" t="s">
        <v>12</v>
      </c>
      <c r="B2" s="3">
        <f>SUMIF(despesa_funcao!D:D,A2,despesa_funcao!K:K)</f>
        <v>67673.06</v>
      </c>
      <c r="C2">
        <f>COUNTIF(despesa_funcao!D:D,A:A)</f>
        <v>1</v>
      </c>
    </row>
    <row r="3" spans="1:3" x14ac:dyDescent="0.25">
      <c r="A3" t="s">
        <v>18</v>
      </c>
      <c r="B3" s="3">
        <f>SUMIF(despesa_funcao!D:D,A3,despesa_funcao!K:K)</f>
        <v>3049447.7499999995</v>
      </c>
      <c r="C3">
        <f>COUNTIF(despesa_funcao!D:D,A:A)</f>
        <v>21</v>
      </c>
    </row>
    <row r="4" spans="1:3" x14ac:dyDescent="0.25">
      <c r="A4" t="s">
        <v>52</v>
      </c>
      <c r="B4" s="3">
        <f>SUMIF(despesa_funcao!D:D,A4,despesa_funcao!K:K)</f>
        <v>1182770.0299999998</v>
      </c>
      <c r="C4">
        <f>COUNTIF(despesa_funcao!D:D,A:A)</f>
        <v>16</v>
      </c>
    </row>
    <row r="5" spans="1:3" x14ac:dyDescent="0.25">
      <c r="A5" t="s">
        <v>74</v>
      </c>
      <c r="B5" s="3">
        <f>SUMIF(despesa_funcao!D:D,A5,despesa_funcao!K:K)</f>
        <v>8665883.370000001</v>
      </c>
      <c r="C5">
        <f>COUNTIF(despesa_funcao!D:D,A:A)</f>
        <v>16</v>
      </c>
    </row>
    <row r="6" spans="1:3" x14ac:dyDescent="0.25">
      <c r="A6" t="s">
        <v>92</v>
      </c>
      <c r="B6" s="3">
        <f>SUMIF(despesa_funcao!D:D,A6,despesa_funcao!K:K)</f>
        <v>1644914.53</v>
      </c>
      <c r="C6">
        <f>COUNTIF(despesa_funcao!D:D,A:A)</f>
        <v>16</v>
      </c>
    </row>
    <row r="7" spans="1:3" x14ac:dyDescent="0.25">
      <c r="A7" t="s">
        <v>115</v>
      </c>
      <c r="B7" s="3">
        <f>SUMIF(despesa_funcao!D:D,A7,despesa_funcao!K:K)</f>
        <v>2361341.12</v>
      </c>
      <c r="C7">
        <f>COUNTIF(despesa_funcao!D:D,A:A)</f>
        <v>13</v>
      </c>
    </row>
    <row r="8" spans="1:3" x14ac:dyDescent="0.25">
      <c r="A8" t="s">
        <v>131</v>
      </c>
      <c r="B8" s="3">
        <f>SUMIF(despesa_funcao!D:D,A8,despesa_funcao!K:K)</f>
        <v>97415941.840000004</v>
      </c>
      <c r="C8">
        <f>COUNTIF(despesa_funcao!D:D,A:A)</f>
        <v>88</v>
      </c>
    </row>
    <row r="9" spans="1:3" x14ac:dyDescent="0.25">
      <c r="A9" t="s">
        <v>236</v>
      </c>
      <c r="B9" s="3">
        <f>SUMIF(despesa_funcao!D:D,A9,despesa_funcao!K:K)</f>
        <v>5975771.5599999996</v>
      </c>
      <c r="C9">
        <f>COUNTIF(despesa_funcao!D:D,A:A)</f>
        <v>23</v>
      </c>
    </row>
    <row r="10" spans="1:3" x14ac:dyDescent="0.25">
      <c r="A10" t="s">
        <v>262</v>
      </c>
      <c r="B10" s="3">
        <f>SUMIF(despesa_funcao!D:D,A10,despesa_funcao!K:K)</f>
        <v>8654354.950000003</v>
      </c>
      <c r="C10">
        <f>COUNTIF(despesa_funcao!D:D,A:A)</f>
        <v>25</v>
      </c>
    </row>
    <row r="11" spans="1:3" x14ac:dyDescent="0.25">
      <c r="A11" t="s">
        <v>291</v>
      </c>
      <c r="B11" s="3">
        <f>SUMIF(despesa_funcao!D:D,A11,despesa_funcao!K:K)</f>
        <v>25107843.960000001</v>
      </c>
      <c r="C11">
        <f>COUNTIF(despesa_funcao!D:D,A:A)</f>
        <v>15</v>
      </c>
    </row>
    <row r="12" spans="1:3" x14ac:dyDescent="0.25">
      <c r="A12" t="s">
        <v>310</v>
      </c>
      <c r="B12" s="3">
        <f>SUMIF(despesa_funcao!D:D,A12,despesa_funcao!K:K)</f>
        <v>84243777.629999995</v>
      </c>
      <c r="C12">
        <f>COUNTIF(despesa_funcao!D:D,A:A)</f>
        <v>115</v>
      </c>
    </row>
    <row r="13" spans="1:3" x14ac:dyDescent="0.25">
      <c r="A13" t="s">
        <v>438</v>
      </c>
      <c r="B13" s="3">
        <f>SUMIF(despesa_funcao!D:D,A13,despesa_funcao!K:K)</f>
        <v>30679165.420000002</v>
      </c>
      <c r="C13">
        <f>COUNTIF(despesa_funcao!D:D,A:A)</f>
        <v>22</v>
      </c>
    </row>
    <row r="14" spans="1:3" x14ac:dyDescent="0.25">
      <c r="A14" t="s">
        <v>464</v>
      </c>
      <c r="B14" s="3">
        <f>SUMIF(despesa_funcao!D:D,A14,despesa_funcao!K:K)</f>
        <v>474178.14999999997</v>
      </c>
      <c r="C14">
        <f>COUNTIF(despesa_funcao!D:D,A:A)</f>
        <v>14</v>
      </c>
    </row>
    <row r="15" spans="1:3" x14ac:dyDescent="0.25">
      <c r="A15" t="s">
        <v>486</v>
      </c>
      <c r="B15" s="3">
        <f>SUMIF(despesa_funcao!D:D,A15,despesa_funcao!K:K)</f>
        <v>5438913.9299999978</v>
      </c>
      <c r="C15">
        <f>COUNTIF(despesa_funcao!D:D,A:A)</f>
        <v>21</v>
      </c>
    </row>
    <row r="16" spans="1:3" x14ac:dyDescent="0.25">
      <c r="A16" t="s">
        <v>510</v>
      </c>
      <c r="B16" s="3">
        <f>SUMIF(despesa_funcao!D:D,A16,despesa_funcao!K:K)</f>
        <v>37463150.299999997</v>
      </c>
      <c r="C16">
        <f>COUNTIF(despesa_funcao!D:D,A:A)</f>
        <v>24</v>
      </c>
    </row>
    <row r="17" spans="1:3" x14ac:dyDescent="0.25">
      <c r="A17" t="s">
        <v>548</v>
      </c>
      <c r="B17" s="3">
        <f>SUMIF(despesa_funcao!D:D,A17,despesa_funcao!K:K)</f>
        <v>924217.23</v>
      </c>
      <c r="C17">
        <f>COUNTIF(despesa_funcao!D:D,A:A)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2026-03-13T00:54:12Z</dcterms:created>
  <dcterms:modified xsi:type="dcterms:W3CDTF">2026-03-13T01:44:24Z</dcterms:modified>
</cp:coreProperties>
</file>